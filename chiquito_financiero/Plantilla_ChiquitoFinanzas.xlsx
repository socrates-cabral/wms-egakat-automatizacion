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ja_Mensual" sheetId="2" state="visible" r:id="rId2"/>
    <sheet xmlns:r="http://schemas.openxmlformats.org/officeDocument/2006/relationships" name="Detalle_Gastos" sheetId="3" state="visible" r:id="rId3"/>
    <sheet xmlns:r="http://schemas.openxmlformats.org/officeDocument/2006/relationships" name="Deudas" sheetId="4" state="visible" r:id="rId4"/>
    <sheet xmlns:r="http://schemas.openxmlformats.org/officeDocument/2006/relationships" name="Costos_Fij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-YYYY"/>
    <numFmt numFmtId="166" formatCode="0.00&quot;%&quot;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2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sz val="10"/>
    </font>
    <font>
      <name val="Calibri"/>
      <b val="1"/>
      <color rgb="00F78166"/>
      <sz val="10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2EA043"/>
      <sz val="10"/>
    </font>
    <font>
      <name val="Calibri"/>
      <color rgb="00DA3633"/>
      <sz val="10"/>
    </font>
    <font>
      <name val="Calibri"/>
      <b val="1"/>
      <color rgb="002EA043"/>
      <sz val="10"/>
    </font>
    <font>
      <name val="Calibri"/>
      <i val="1"/>
      <color rgb="00444C56"/>
      <sz val="10"/>
    </font>
    <font>
      <name val="Calibri"/>
      <i val="1"/>
      <color rgb="006E7681"/>
      <sz val="9"/>
    </font>
    <font>
      <name val="Calibri"/>
      <color rgb="00D4A72C"/>
      <sz val="10"/>
    </font>
    <font>
      <name val="Calibri"/>
      <b val="1"/>
      <color rgb="00D4A72C"/>
      <sz val="10"/>
    </font>
  </fonts>
  <fills count="6">
    <fill>
      <patternFill/>
    </fill>
    <fill>
      <patternFill patternType="gray125"/>
    </fill>
    <fill>
      <patternFill patternType="solid">
        <fgColor rgb="002D333B"/>
      </patternFill>
    </fill>
    <fill>
      <patternFill patternType="solid">
        <fgColor rgb="00444C56"/>
      </patternFill>
    </fill>
    <fill>
      <patternFill patternType="solid">
        <fgColor rgb="00F6F8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/>
    </xf>
    <xf numFmtId="3" fontId="10" fillId="4" borderId="1" applyAlignment="1" pivotButton="0" quotePrefix="0" xfId="0">
      <alignment horizontal="right" vertical="center"/>
    </xf>
    <xf numFmtId="3" fontId="11" fillId="4" borderId="1" applyAlignment="1" pivotButton="0" quotePrefix="0" xfId="0">
      <alignment horizontal="right" vertical="center"/>
    </xf>
    <xf numFmtId="3" fontId="12" fillId="4" borderId="1" applyAlignment="1" pivotButton="0" quotePrefix="0" xfId="0">
      <alignment horizontal="right" vertical="center"/>
    </xf>
    <xf numFmtId="0" fontId="13" fillId="4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3" fontId="10" fillId="5" borderId="1" applyAlignment="1" pivotButton="0" quotePrefix="0" xfId="0">
      <alignment horizontal="right" vertical="center"/>
    </xf>
    <xf numFmtId="3" fontId="11" fillId="5" borderId="1" applyAlignment="1" pivotButton="0" quotePrefix="0" xfId="0">
      <alignment horizontal="right" vertical="center"/>
    </xf>
    <xf numFmtId="3" fontId="12" fillId="5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left" vertical="center"/>
    </xf>
    <xf numFmtId="3" fontId="8" fillId="2" borderId="1" applyAlignment="1" pivotButton="0" quotePrefix="0" xfId="0">
      <alignment horizontal="right" vertical="center"/>
    </xf>
    <xf numFmtId="0" fontId="0" fillId="2" borderId="1" pivotButton="0" quotePrefix="0" xfId="0"/>
    <xf numFmtId="165" fontId="9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left" vertical="center"/>
    </xf>
    <xf numFmtId="165" fontId="9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/>
    </xf>
    <xf numFmtId="166" fontId="9" fillId="4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center" vertical="center" wrapText="1"/>
    </xf>
    <xf numFmtId="3" fontId="15" fillId="5" borderId="1" applyAlignment="1" pivotButton="0" quotePrefix="0" xfId="0">
      <alignment horizontal="right" vertical="center"/>
    </xf>
    <xf numFmtId="166" fontId="9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9C0FF"/>
    <outlinePr summaryBelow="1" summaryRight="1"/>
    <pageSetUpPr/>
  </sheetPr>
  <dimension ref="B2:G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70" customWidth="1" min="3" max="3"/>
    <col width="5" customWidth="1" min="4" max="4"/>
    <col width="5" customWidth="1" min="5" max="5"/>
    <col width="5" customWidth="1" min="6" max="6"/>
    <col width="5" customWidth="1" min="7" max="7"/>
  </cols>
  <sheetData>
    <row r="2" ht="40" customHeight="1">
      <c r="B2" s="1" t="inlineStr">
        <is>
          <t>Plantilla Financiera — Chiquito Mueblería</t>
        </is>
      </c>
    </row>
    <row r="3">
      <c r="B3" s="2" t="inlineStr">
        <is>
          <t>Control de Ingresos · Gastos · Deudas · Costos Fijos</t>
        </is>
      </c>
    </row>
    <row r="5" ht="28" customHeight="1"/>
    <row r="6" ht="28" customHeight="1">
      <c r="B6" s="3" t="inlineStr">
        <is>
          <t>HOJA</t>
        </is>
      </c>
      <c r="C6" s="4" t="inlineStr">
        <is>
          <t>QUÉ CONTIENE / CÓMO USARLA</t>
        </is>
      </c>
    </row>
    <row r="7" ht="40" customHeight="1">
      <c r="B7" s="5" t="inlineStr">
        <is>
          <t>Caja_Mensual</t>
        </is>
      </c>
      <c r="C7" s="6" t="inlineStr">
        <is>
          <t>Resumen mes a mes: Ingresos totales, Gastos totales y Resultado neto. Actualiza las columnas Ingresos_Total y Gastos_Total cada fin de mes.</t>
        </is>
      </c>
    </row>
    <row r="8" ht="40" customHeight="1">
      <c r="B8" s="7" t="inlineStr">
        <is>
          <t>Detalle_Gastos</t>
        </is>
      </c>
      <c r="C8" s="8" t="inlineStr">
        <is>
          <t>Registro de cada gasto: fecha, categoría, descripción y monto. Agrega una fila por cada compra o pago realizado.</t>
        </is>
      </c>
    </row>
    <row r="9" ht="40" customHeight="1">
      <c r="B9" s="5" t="inlineStr">
        <is>
          <t>Deudas</t>
        </is>
      </c>
      <c r="C9" s="6" t="inlineStr">
        <is>
          <t>Lista de compromisos financieros (banco, tarjeta, leasing, préstamos). Actualiza Saldo_Pendiente cada vez que realizas un abono.</t>
        </is>
      </c>
    </row>
    <row r="10" ht="40" customHeight="1">
      <c r="B10" s="7" t="inlineStr">
        <is>
          <t>Costos_Fijos</t>
        </is>
      </c>
      <c r="C10" s="8" t="inlineStr">
        <is>
          <t>Gastos que se repiten cada mes con monto similar: arriendo, luz, agua, etc. Revisa y ajusta los montos cuando cambien.</t>
        </is>
      </c>
    </row>
    <row r="11" ht="28" customHeight="1"/>
    <row r="12" ht="40" customHeight="1">
      <c r="B12" s="9" t="inlineStr">
        <is>
          <t>CONSEJO</t>
        </is>
      </c>
      <c r="C12" s="8" t="inlineStr">
        <is>
          <t>Registra los gastos apenas ocurren — no los acumules al fin de mes. Un registro diario toma menos de 2 minutos y te da control real de tu negocio.</t>
        </is>
      </c>
    </row>
    <row r="13" ht="40" customHeight="1">
      <c r="B13" s="10" t="inlineStr">
        <is>
          <t>FRECUENCIA SUGERIDA</t>
        </is>
      </c>
      <c r="C13" s="6" t="inlineStr">
        <is>
          <t>Diaria: Detalle_Gastos  |  Mensual: Caja_Mensual  |  Trimestral: Deudas</t>
        </is>
      </c>
    </row>
    <row r="14" ht="40" customHeight="1">
      <c r="B14" s="9" t="inlineStr">
        <is>
          <t>MONEDA</t>
        </is>
      </c>
      <c r="C14" s="8" t="inlineStr">
        <is>
          <t>Todos los montos en Pesos Chilenos (CLP) sin puntos de miles en la celda. El formato numérico agrega el separador automáticamente.</t>
        </is>
      </c>
    </row>
  </sheetData>
  <mergeCells count="11">
    <mergeCell ref="B3:G3"/>
    <mergeCell ref="B2:G2"/>
    <mergeCell ref="C7:G7"/>
    <mergeCell ref="C12:G12"/>
    <mergeCell ref="C6:G6"/>
    <mergeCell ref="C10:G10"/>
    <mergeCell ref="B6"/>
    <mergeCell ref="C14:G14"/>
    <mergeCell ref="C13:G13"/>
    <mergeCell ref="C8:G8"/>
    <mergeCell ref="C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A043"/>
    <outlinePr summaryBelow="1" summaryRight="1"/>
    <pageSetUpPr/>
  </sheetPr>
  <dimension ref="B2:F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8" customWidth="1" min="3" max="3"/>
    <col width="18" customWidth="1" min="4" max="4"/>
    <col width="18" customWidth="1" min="5" max="5"/>
    <col width="30" customWidth="1" min="6" max="6"/>
  </cols>
  <sheetData>
    <row r="2" ht="35" customHeight="1">
      <c r="B2" s="11" t="inlineStr">
        <is>
          <t>Caja Mensual — Resumen de Ingresos y Gastos</t>
        </is>
      </c>
    </row>
    <row r="4" ht="28" customHeight="1">
      <c r="B4" s="12" t="inlineStr">
        <is>
          <t>Mes</t>
        </is>
      </c>
      <c r="C4" s="12" t="inlineStr">
        <is>
          <t>Ingresos_Total</t>
        </is>
      </c>
      <c r="D4" s="12" t="inlineStr">
        <is>
          <t>Gastos_Total</t>
        </is>
      </c>
      <c r="E4" s="12" t="inlineStr">
        <is>
          <t>Resultado</t>
        </is>
      </c>
      <c r="F4" s="12" t="inlineStr">
        <is>
          <t>Observacion</t>
        </is>
      </c>
    </row>
    <row r="5" ht="22" customHeight="1">
      <c r="B5" s="13" t="inlineStr">
        <is>
          <t>Enero 2026</t>
        </is>
      </c>
      <c r="C5" s="14" t="n">
        <v>1750000</v>
      </c>
      <c r="D5" s="15" t="n">
        <v>1580000</v>
      </c>
      <c r="E5" s="16">
        <f>C5-D5</f>
        <v/>
      </c>
      <c r="F5" s="17" t="inlineStr">
        <is>
          <t>Mes tranquilo — temporada baja</t>
        </is>
      </c>
    </row>
    <row r="6" ht="22" customHeight="1">
      <c r="B6" s="18" t="inlineStr">
        <is>
          <t>Febrero 2026</t>
        </is>
      </c>
      <c r="C6" s="19" t="n">
        <v>1820000</v>
      </c>
      <c r="D6" s="20" t="n">
        <v>1620000</v>
      </c>
      <c r="E6" s="21">
        <f>C6-D6</f>
        <v/>
      </c>
      <c r="F6" s="22" t="inlineStr">
        <is>
          <t>Sin novedad</t>
        </is>
      </c>
    </row>
    <row r="7" ht="22" customHeight="1">
      <c r="B7" s="13" t="inlineStr">
        <is>
          <t>Marzo 2026</t>
        </is>
      </c>
      <c r="C7" s="14" t="n">
        <v>1900000</v>
      </c>
      <c r="D7" s="15" t="n">
        <v>1650000</v>
      </c>
      <c r="E7" s="16">
        <f>C7-D7</f>
        <v/>
      </c>
      <c r="F7" s="17" t="inlineStr">
        <is>
          <t>Pedido especial cocina</t>
        </is>
      </c>
    </row>
    <row r="8" ht="22" customHeight="1">
      <c r="B8" s="18" t="inlineStr">
        <is>
          <t>Abril 2026</t>
        </is>
      </c>
      <c r="C8" s="19" t="n">
        <v>1780000</v>
      </c>
      <c r="D8" s="20" t="n">
        <v>1600000</v>
      </c>
      <c r="E8" s="21">
        <f>C8-D8</f>
        <v/>
      </c>
      <c r="F8" s="22" t="inlineStr"/>
    </row>
    <row r="9" ht="22" customHeight="1">
      <c r="B9" s="13" t="inlineStr">
        <is>
          <t>Mayo 2026</t>
        </is>
      </c>
      <c r="C9" s="14" t="n">
        <v>1850000</v>
      </c>
      <c r="D9" s="15" t="n">
        <v>1670000</v>
      </c>
      <c r="E9" s="16">
        <f>C9-D9</f>
        <v/>
      </c>
      <c r="F9" s="17" t="inlineStr">
        <is>
          <t>Pago cuota maquinaria</t>
        </is>
      </c>
    </row>
    <row r="10" ht="22" customHeight="1">
      <c r="B10" s="18" t="inlineStr">
        <is>
          <t>Junio 2026</t>
        </is>
      </c>
      <c r="C10" s="19" t="n">
        <v>1760000</v>
      </c>
      <c r="D10" s="20" t="n">
        <v>1590000</v>
      </c>
      <c r="E10" s="21">
        <f>C10-D10</f>
        <v/>
      </c>
      <c r="F10" s="22" t="inlineStr"/>
    </row>
    <row r="11" ht="22" customHeight="1">
      <c r="B11" s="13" t="inlineStr">
        <is>
          <t>Julio 2026</t>
        </is>
      </c>
      <c r="C11" s="14" t="n">
        <v>1830000</v>
      </c>
      <c r="D11" s="15" t="n">
        <v>1640000</v>
      </c>
      <c r="E11" s="16">
        <f>C11-D11</f>
        <v/>
      </c>
      <c r="F11" s="17" t="inlineStr"/>
    </row>
    <row r="12" ht="22" customHeight="1">
      <c r="B12" s="18" t="inlineStr">
        <is>
          <t>Agosto 2026</t>
        </is>
      </c>
      <c r="C12" s="19" t="n">
        <v>1950000</v>
      </c>
      <c r="D12" s="20" t="n">
        <v>1700000</v>
      </c>
      <c r="E12" s="21">
        <f>C12-D12</f>
        <v/>
      </c>
      <c r="F12" s="22" t="inlineStr">
        <is>
          <t>Clientes nuevos</t>
        </is>
      </c>
    </row>
    <row r="13" ht="22" customHeight="1">
      <c r="B13" s="13" t="inlineStr">
        <is>
          <t>Septiembre 2026</t>
        </is>
      </c>
      <c r="C13" s="14" t="n">
        <v>1800000</v>
      </c>
      <c r="D13" s="15" t="n">
        <v>1610000</v>
      </c>
      <c r="E13" s="16">
        <f>C13-D13</f>
        <v/>
      </c>
      <c r="F13" s="17" t="inlineStr"/>
    </row>
    <row r="14" ht="22" customHeight="1">
      <c r="B14" s="18" t="inlineStr">
        <is>
          <t>Octubre 2026</t>
        </is>
      </c>
      <c r="C14" s="19" t="n">
        <v>1870000</v>
      </c>
      <c r="D14" s="20" t="n">
        <v>1660000</v>
      </c>
      <c r="E14" s="21">
        <f>C14-D14</f>
        <v/>
      </c>
      <c r="F14" s="22" t="inlineStr">
        <is>
          <t>Feria Diseño Hogar</t>
        </is>
      </c>
    </row>
    <row r="15" ht="22" customHeight="1">
      <c r="B15" s="13" t="inlineStr">
        <is>
          <t>Noviembre 2026</t>
        </is>
      </c>
      <c r="C15" s="14" t="n">
        <v>2100000</v>
      </c>
      <c r="D15" s="15" t="n">
        <v>1800000</v>
      </c>
      <c r="E15" s="16">
        <f>C15-D15</f>
        <v/>
      </c>
      <c r="F15" s="17" t="inlineStr">
        <is>
          <t>Temporada alta — Navidad</t>
        </is>
      </c>
    </row>
    <row r="16" ht="22" customHeight="1">
      <c r="B16" s="18" t="inlineStr">
        <is>
          <t>Diciembre 2026</t>
        </is>
      </c>
      <c r="C16" s="19" t="n">
        <v>2300000</v>
      </c>
      <c r="D16" s="20" t="n">
        <v>1950000</v>
      </c>
      <c r="E16" s="21">
        <f>C16-D16</f>
        <v/>
      </c>
      <c r="F16" s="22" t="inlineStr">
        <is>
          <t>Cierre de año — ventas altas</t>
        </is>
      </c>
    </row>
    <row r="17" ht="26" customHeight="1">
      <c r="B17" s="12" t="inlineStr">
        <is>
          <t>TOTAL AÑO</t>
        </is>
      </c>
      <c r="C17" s="23">
        <f>SUM(C5:C16)</f>
        <v/>
      </c>
      <c r="D17" s="23">
        <f>SUM(D5:D16)</f>
        <v/>
      </c>
      <c r="E17" s="23">
        <f>SUM(E5:E16)</f>
        <v/>
      </c>
      <c r="F17" s="24" t="n"/>
    </row>
  </sheetData>
  <mergeCells count="1">
    <mergeCell ref="B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A3633"/>
    <outlinePr summaryBelow="1" summaryRight="1"/>
    <pageSetUpPr/>
  </sheetPr>
  <dimension ref="B2:G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20" customWidth="1" min="4" max="4"/>
    <col width="38" customWidth="1" min="5" max="5"/>
    <col width="16" customWidth="1" min="6" max="6"/>
    <col width="28" customWidth="1" min="7" max="7"/>
  </cols>
  <sheetData>
    <row r="2" ht="35" customHeight="1">
      <c r="B2" s="11" t="inlineStr">
        <is>
          <t>Detalle de Gastos — Registro de Transacciones</t>
        </is>
      </c>
    </row>
    <row r="4" ht="28" customHeight="1">
      <c r="B4" s="12" t="inlineStr">
        <is>
          <t>Fecha</t>
        </is>
      </c>
      <c r="C4" s="12" t="inlineStr">
        <is>
          <t>Mes</t>
        </is>
      </c>
      <c r="D4" s="12" t="inlineStr">
        <is>
          <t>Categoria</t>
        </is>
      </c>
      <c r="E4" s="12" t="inlineStr">
        <is>
          <t>Descripcion</t>
        </is>
      </c>
      <c r="F4" s="12" t="inlineStr">
        <is>
          <t>Monto</t>
        </is>
      </c>
      <c r="G4" s="12" t="inlineStr">
        <is>
          <t>Nota</t>
        </is>
      </c>
    </row>
    <row r="5" ht="22" customHeight="1">
      <c r="B5" s="25" t="n">
        <v>46027</v>
      </c>
      <c r="C5" s="13" t="inlineStr">
        <is>
          <t>Enero 2026</t>
        </is>
      </c>
      <c r="D5" s="13" t="inlineStr">
        <is>
          <t>Materiales</t>
        </is>
      </c>
      <c r="E5" s="13" t="inlineStr">
        <is>
          <t>Madera MDF 18mm x 10 planchas</t>
        </is>
      </c>
      <c r="F5" s="15" t="n">
        <v>185000</v>
      </c>
      <c r="G5" s="26" t="inlineStr">
        <is>
          <t>Proveedor Maderas Sur</t>
        </is>
      </c>
    </row>
    <row r="6" ht="22" customHeight="1">
      <c r="B6" s="27" t="n">
        <v>46030</v>
      </c>
      <c r="C6" s="18" t="inlineStr">
        <is>
          <t>Enero 2026</t>
        </is>
      </c>
      <c r="D6" s="18" t="inlineStr">
        <is>
          <t>Servicios Basicos</t>
        </is>
      </c>
      <c r="E6" s="18" t="inlineStr">
        <is>
          <t>Electricidad taller Enero</t>
        </is>
      </c>
      <c r="F6" s="20" t="n">
        <v>42500</v>
      </c>
      <c r="G6" s="28" t="inlineStr"/>
    </row>
    <row r="7" ht="22" customHeight="1">
      <c r="B7" s="25" t="n">
        <v>46032</v>
      </c>
      <c r="C7" s="13" t="inlineStr">
        <is>
          <t>Enero 2026</t>
        </is>
      </c>
      <c r="D7" s="13" t="inlineStr">
        <is>
          <t>Materiales</t>
        </is>
      </c>
      <c r="E7" s="13" t="inlineStr">
        <is>
          <t>Tornillos, bisagras y herrajes varios</t>
        </is>
      </c>
      <c r="F7" s="15" t="n">
        <v>28900</v>
      </c>
      <c r="G7" s="26" t="inlineStr"/>
    </row>
    <row r="8" ht="22" customHeight="1">
      <c r="B8" s="27" t="n">
        <v>46037</v>
      </c>
      <c r="C8" s="18" t="inlineStr">
        <is>
          <t>Enero 2026</t>
        </is>
      </c>
      <c r="D8" s="18" t="inlineStr">
        <is>
          <t>Arriendo</t>
        </is>
      </c>
      <c r="E8" s="18" t="inlineStr">
        <is>
          <t>Arriendo taller Enero</t>
        </is>
      </c>
      <c r="F8" s="20" t="n">
        <v>380000</v>
      </c>
      <c r="G8" s="28" t="inlineStr">
        <is>
          <t>Pago mensual fijo</t>
        </is>
      </c>
    </row>
    <row r="9" ht="22" customHeight="1">
      <c r="B9" s="25" t="n">
        <v>46042</v>
      </c>
      <c r="C9" s="13" t="inlineStr">
        <is>
          <t>Enero 2026</t>
        </is>
      </c>
      <c r="D9" s="13" t="inlineStr">
        <is>
          <t>Transporte</t>
        </is>
      </c>
      <c r="E9" s="13" t="inlineStr">
        <is>
          <t>Gasolina camioneta (2 cargas)</t>
        </is>
      </c>
      <c r="F9" s="15" t="n">
        <v>55000</v>
      </c>
      <c r="G9" s="26" t="inlineStr"/>
    </row>
    <row r="10" ht="22" customHeight="1">
      <c r="B10" s="27" t="n">
        <v>46047</v>
      </c>
      <c r="C10" s="18" t="inlineStr">
        <is>
          <t>Enero 2026</t>
        </is>
      </c>
      <c r="D10" s="18" t="inlineStr">
        <is>
          <t>Sueldos</t>
        </is>
      </c>
      <c r="E10" s="18" t="inlineStr">
        <is>
          <t>Sueldo ayudante Manuel</t>
        </is>
      </c>
      <c r="F10" s="20" t="n">
        <v>350000</v>
      </c>
      <c r="G10" s="28" t="inlineStr"/>
    </row>
    <row r="11" ht="22" customHeight="1">
      <c r="B11" s="25" t="n">
        <v>46056</v>
      </c>
      <c r="C11" s="13" t="inlineStr">
        <is>
          <t>Febrero 2026</t>
        </is>
      </c>
      <c r="D11" s="13" t="inlineStr">
        <is>
          <t>Materiales</t>
        </is>
      </c>
      <c r="E11" s="13" t="inlineStr">
        <is>
          <t>Tablones pino 3x5 metros</t>
        </is>
      </c>
      <c r="F11" s="15" t="n">
        <v>210000</v>
      </c>
      <c r="G11" s="26" t="inlineStr"/>
    </row>
    <row r="12" ht="22" customHeight="1">
      <c r="B12" s="27" t="n">
        <v>46061</v>
      </c>
      <c r="C12" s="18" t="inlineStr">
        <is>
          <t>Febrero 2026</t>
        </is>
      </c>
      <c r="D12" s="18" t="inlineStr">
        <is>
          <t>Servicios Basicos</t>
        </is>
      </c>
      <c r="E12" s="18" t="inlineStr">
        <is>
          <t>Agua + basura Febrero</t>
        </is>
      </c>
      <c r="F12" s="20" t="n">
        <v>18200</v>
      </c>
      <c r="G12" s="28" t="inlineStr"/>
    </row>
    <row r="13" ht="22" customHeight="1">
      <c r="B13" s="25" t="n">
        <v>46065</v>
      </c>
      <c r="C13" s="13" t="inlineStr">
        <is>
          <t>Febrero 2026</t>
        </is>
      </c>
      <c r="D13" s="13" t="inlineStr">
        <is>
          <t>Herramientas</t>
        </is>
      </c>
      <c r="E13" s="13" t="inlineStr">
        <is>
          <t>Disco sierra circular repuesto x3</t>
        </is>
      </c>
      <c r="F13" s="15" t="n">
        <v>35000</v>
      </c>
      <c r="G13" s="26" t="inlineStr"/>
    </row>
    <row r="14" ht="22" customHeight="1">
      <c r="B14" s="27" t="n">
        <v>46068</v>
      </c>
      <c r="C14" s="18" t="inlineStr">
        <is>
          <t>Febrero 2026</t>
        </is>
      </c>
      <c r="D14" s="18" t="inlineStr">
        <is>
          <t>Arriendo</t>
        </is>
      </c>
      <c r="E14" s="18" t="inlineStr">
        <is>
          <t>Arriendo taller Febrero</t>
        </is>
      </c>
      <c r="F14" s="20" t="n">
        <v>380000</v>
      </c>
      <c r="G14" s="28" t="inlineStr"/>
    </row>
    <row r="15" ht="22" customHeight="1">
      <c r="B15" s="25" t="n">
        <v>46073</v>
      </c>
      <c r="C15" s="13" t="inlineStr">
        <is>
          <t>Febrero 2026</t>
        </is>
      </c>
      <c r="D15" s="13" t="inlineStr">
        <is>
          <t>Marketing</t>
        </is>
      </c>
      <c r="E15" s="13" t="inlineStr">
        <is>
          <t>Publicación en Marketplace Facebook</t>
        </is>
      </c>
      <c r="F15" s="15" t="n">
        <v>5000</v>
      </c>
      <c r="G15" s="26" t="inlineStr">
        <is>
          <t>Boost 7 días</t>
        </is>
      </c>
    </row>
    <row r="16" ht="22" customHeight="1">
      <c r="B16" s="27" t="n">
        <v>46078</v>
      </c>
      <c r="C16" s="18" t="inlineStr">
        <is>
          <t>Febrero 2026</t>
        </is>
      </c>
      <c r="D16" s="18" t="inlineStr">
        <is>
          <t>Sueldos</t>
        </is>
      </c>
      <c r="E16" s="18" t="inlineStr">
        <is>
          <t>Sueldo ayudante Manuel</t>
        </is>
      </c>
      <c r="F16" s="20" t="n">
        <v>350000</v>
      </c>
      <c r="G16" s="28" t="inlineStr"/>
    </row>
    <row r="17" ht="22" customHeight="1">
      <c r="B17" s="25" t="n">
        <v>46086</v>
      </c>
      <c r="C17" s="13" t="inlineStr">
        <is>
          <t>Marzo 2026</t>
        </is>
      </c>
      <c r="D17" s="13" t="inlineStr">
        <is>
          <t>Materiales</t>
        </is>
      </c>
      <c r="E17" s="13" t="inlineStr">
        <is>
          <t>Laca, sellador y barniz</t>
        </is>
      </c>
      <c r="F17" s="15" t="n">
        <v>62000</v>
      </c>
      <c r="G17" s="26" t="inlineStr">
        <is>
          <t>Ferretería Los Andes</t>
        </is>
      </c>
    </row>
    <row r="18" ht="22" customHeight="1">
      <c r="B18" s="27" t="n">
        <v>46091</v>
      </c>
      <c r="C18" s="18" t="inlineStr">
        <is>
          <t>Marzo 2026</t>
        </is>
      </c>
      <c r="D18" s="18" t="inlineStr">
        <is>
          <t>Servicios Basicos</t>
        </is>
      </c>
      <c r="E18" s="18" t="inlineStr">
        <is>
          <t>Electricidad taller Marzo</t>
        </is>
      </c>
      <c r="F18" s="20" t="n">
        <v>48000</v>
      </c>
      <c r="G18" s="28" t="inlineStr">
        <is>
          <t>Mes con horas extra</t>
        </is>
      </c>
    </row>
    <row r="19" ht="22" customHeight="1">
      <c r="B19" s="25" t="n">
        <v>46096</v>
      </c>
      <c r="C19" s="13" t="inlineStr">
        <is>
          <t>Marzo 2026</t>
        </is>
      </c>
      <c r="D19" s="13" t="inlineStr">
        <is>
          <t>Arriendo</t>
        </is>
      </c>
      <c r="E19" s="13" t="inlineStr">
        <is>
          <t>Arriendo taller Marzo</t>
        </is>
      </c>
      <c r="F19" s="15" t="n">
        <v>380000</v>
      </c>
      <c r="G19" s="26" t="inlineStr"/>
    </row>
    <row r="20" ht="22" customHeight="1">
      <c r="B20" s="27" t="n">
        <v>46099</v>
      </c>
      <c r="C20" s="18" t="inlineStr">
        <is>
          <t>Marzo 2026</t>
        </is>
      </c>
      <c r="D20" s="18" t="inlineStr">
        <is>
          <t>Cuota Deuda</t>
        </is>
      </c>
      <c r="E20" s="18" t="inlineStr">
        <is>
          <t>Cuota crédito banco Marzo</t>
        </is>
      </c>
      <c r="F20" s="20" t="n">
        <v>120000</v>
      </c>
      <c r="G20" s="28" t="inlineStr">
        <is>
          <t>Banco Estado</t>
        </is>
      </c>
    </row>
    <row r="21" ht="22" customHeight="1">
      <c r="B21" s="25" t="n">
        <v>46103</v>
      </c>
      <c r="C21" s="13" t="inlineStr">
        <is>
          <t>Marzo 2026</t>
        </is>
      </c>
      <c r="D21" s="13" t="inlineStr">
        <is>
          <t>Transporte</t>
        </is>
      </c>
      <c r="E21" s="13" t="inlineStr">
        <is>
          <t>Envío muebles cliente — flete</t>
        </is>
      </c>
      <c r="F21" s="15" t="n">
        <v>35000</v>
      </c>
      <c r="G21" s="26" t="inlineStr"/>
    </row>
    <row r="22" ht="22" customHeight="1">
      <c r="B22" s="27" t="n">
        <v>46106</v>
      </c>
      <c r="C22" s="18" t="inlineStr">
        <is>
          <t>Marzo 2026</t>
        </is>
      </c>
      <c r="D22" s="18" t="inlineStr">
        <is>
          <t>Sueldos</t>
        </is>
      </c>
      <c r="E22" s="18" t="inlineStr">
        <is>
          <t>Sueldo ayudante Manuel</t>
        </is>
      </c>
      <c r="F22" s="20" t="n">
        <v>350000</v>
      </c>
      <c r="G22" s="28" t="inlineStr"/>
    </row>
    <row r="23" ht="22" customHeight="1">
      <c r="B23" s="25" t="n">
        <v>46109</v>
      </c>
      <c r="C23" s="13" t="inlineStr">
        <is>
          <t>Marzo 2026</t>
        </is>
      </c>
      <c r="D23" s="13" t="inlineStr">
        <is>
          <t>Materiales</t>
        </is>
      </c>
      <c r="E23" s="13" t="inlineStr">
        <is>
          <t>Tela tapizado sofá por encargo</t>
        </is>
      </c>
      <c r="F23" s="15" t="n">
        <v>95000</v>
      </c>
      <c r="G23" s="26" t="inlineStr">
        <is>
          <t>Cliente Contreras</t>
        </is>
      </c>
    </row>
    <row r="24" ht="22" customHeight="1">
      <c r="B24" s="27" t="n">
        <v>46111</v>
      </c>
      <c r="C24" s="18" t="inlineStr">
        <is>
          <t>Marzo 2026</t>
        </is>
      </c>
      <c r="D24" s="18" t="inlineStr">
        <is>
          <t>Varios</t>
        </is>
      </c>
      <c r="E24" s="18" t="inlineStr">
        <is>
          <t>Almuerzo reunión con cliente</t>
        </is>
      </c>
      <c r="F24" s="20" t="n">
        <v>18500</v>
      </c>
      <c r="G24" s="28" t="inlineStr"/>
    </row>
    <row r="25" ht="26" customHeight="1">
      <c r="B25" s="12" t="inlineStr">
        <is>
          <t>TOTAL GASTOS (muestra)</t>
        </is>
      </c>
      <c r="F25" s="23">
        <f>SUM(F5:F24)</f>
        <v/>
      </c>
      <c r="G25" s="24" t="n"/>
    </row>
  </sheetData>
  <mergeCells count="2">
    <mergeCell ref="B2:G2"/>
    <mergeCell ref="B25:E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78166"/>
    <outlinePr summaryBelow="1" summaryRight="1"/>
    <pageSetUpPr/>
  </sheetPr>
  <dimension ref="B2:H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0" customWidth="1" min="3" max="3"/>
    <col width="18" customWidth="1" min="4" max="4"/>
    <col width="18" customWidth="1" min="5" max="5"/>
    <col width="14" customWidth="1" min="6" max="6"/>
    <col width="14" customWidth="1" min="7" max="7"/>
    <col width="16" customWidth="1" min="8" max="8"/>
  </cols>
  <sheetData>
    <row r="2" ht="35" customHeight="1">
      <c r="B2" s="11" t="inlineStr">
        <is>
          <t>Control de Deudas y Compromisos Financieros</t>
        </is>
      </c>
    </row>
    <row r="4" ht="28" customHeight="1">
      <c r="B4" s="12" t="inlineStr">
        <is>
          <t>Acreedor</t>
        </is>
      </c>
      <c r="C4" s="12" t="inlineStr">
        <is>
          <t>Tipo</t>
        </is>
      </c>
      <c r="D4" s="12" t="inlineStr">
        <is>
          <t>Saldo_Pendiente</t>
        </is>
      </c>
      <c r="E4" s="12" t="inlineStr">
        <is>
          <t>Cuota_Mensual</t>
        </is>
      </c>
      <c r="F4" s="12" t="inlineStr">
        <is>
          <t>Tasa_Mensual_%</t>
        </is>
      </c>
      <c r="G4" s="12" t="inlineStr">
        <is>
          <t>Cuotas_Rest.</t>
        </is>
      </c>
      <c r="H4" s="12" t="inlineStr">
        <is>
          <t>Vencimiento</t>
        </is>
      </c>
    </row>
    <row r="5" ht="24" customHeight="1">
      <c r="B5" s="13" t="inlineStr">
        <is>
          <t>Banco Estado</t>
        </is>
      </c>
      <c r="C5" s="13" t="inlineStr">
        <is>
          <t>Crédito bancario</t>
        </is>
      </c>
      <c r="D5" s="15" t="n">
        <v>3600000</v>
      </c>
      <c r="E5" s="15" t="n">
        <v>120000</v>
      </c>
      <c r="F5" s="29" t="n">
        <v>0.9</v>
      </c>
      <c r="G5" s="30" t="n">
        <v>30</v>
      </c>
      <c r="H5" s="25" t="n">
        <v>46997</v>
      </c>
    </row>
    <row r="6" ht="24" customHeight="1">
      <c r="B6" s="18" t="inlineStr">
        <is>
          <t>Tarjeta CMR Falabella</t>
        </is>
      </c>
      <c r="C6" s="18" t="inlineStr">
        <is>
          <t>Tarjeta crédito</t>
        </is>
      </c>
      <c r="D6" s="31" t="n">
        <v>480000</v>
      </c>
      <c r="E6" s="31" t="n">
        <v>96000</v>
      </c>
      <c r="F6" s="32" t="n">
        <v>2.3</v>
      </c>
      <c r="G6" s="33" t="n">
        <v>5</v>
      </c>
      <c r="H6" s="27" t="n">
        <v>46188</v>
      </c>
    </row>
    <row r="7" ht="24" customHeight="1">
      <c r="B7" s="13" t="inlineStr">
        <is>
          <t>Leasing maquinaria</t>
        </is>
      </c>
      <c r="C7" s="13" t="inlineStr">
        <is>
          <t>Leasing</t>
        </is>
      </c>
      <c r="D7" s="15" t="n">
        <v>8200000</v>
      </c>
      <c r="E7" s="15" t="n">
        <v>215000</v>
      </c>
      <c r="F7" s="29" t="n">
        <v>0.7</v>
      </c>
      <c r="G7" s="30" t="n">
        <v>38</v>
      </c>
      <c r="H7" s="25" t="n">
        <v>47239</v>
      </c>
    </row>
    <row r="8" ht="24" customHeight="1">
      <c r="B8" s="18" t="inlineStr">
        <is>
          <t>Préstamo familiar</t>
        </is>
      </c>
      <c r="C8" s="18" t="inlineStr">
        <is>
          <t>Familiar</t>
        </is>
      </c>
      <c r="D8" s="31" t="n">
        <v>600000</v>
      </c>
      <c r="E8" s="31" t="n">
        <v>50000</v>
      </c>
      <c r="F8" s="32" t="n">
        <v>0</v>
      </c>
      <c r="G8" s="33" t="n">
        <v>12</v>
      </c>
      <c r="H8" s="27" t="n">
        <v>46447</v>
      </c>
    </row>
    <row r="9" ht="26" customHeight="1">
      <c r="B9" s="12" t="inlineStr">
        <is>
          <t>TOTAL DEUDA</t>
        </is>
      </c>
      <c r="D9" s="23">
        <f>SUM(D5:D8)</f>
        <v/>
      </c>
      <c r="E9" s="23">
        <f>SUM(E5:E8)</f>
        <v/>
      </c>
      <c r="F9" s="24" t="n"/>
      <c r="G9" s="24" t="n"/>
      <c r="H9" s="24" t="n"/>
    </row>
  </sheetData>
  <mergeCells count="2">
    <mergeCell ref="B9:C9"/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4A72C"/>
    <outlinePr summaryBelow="1" summaryRight="1"/>
    <pageSetUpPr/>
  </sheetPr>
  <dimension ref="B2:E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8" customWidth="1" min="3" max="3"/>
    <col width="12" customWidth="1" min="4" max="4"/>
    <col width="38" customWidth="1" min="5" max="5"/>
  </cols>
  <sheetData>
    <row r="2" ht="35" customHeight="1">
      <c r="B2" s="11" t="inlineStr">
        <is>
          <t>Costos Fijos Mensuales del Taller</t>
        </is>
      </c>
    </row>
    <row r="4" ht="28" customHeight="1">
      <c r="B4" s="12" t="inlineStr">
        <is>
          <t>Concepto</t>
        </is>
      </c>
      <c r="C4" s="12" t="inlineStr">
        <is>
          <t>Monto_Mensual</t>
        </is>
      </c>
      <c r="D4" s="12" t="inlineStr">
        <is>
          <t>Tipo</t>
        </is>
      </c>
      <c r="E4" s="12" t="inlineStr">
        <is>
          <t>Nota</t>
        </is>
      </c>
    </row>
    <row r="5" ht="24" customHeight="1">
      <c r="B5" s="13" t="inlineStr">
        <is>
          <t>Arriendo taller</t>
        </is>
      </c>
      <c r="C5" s="15" t="n">
        <v>380000</v>
      </c>
      <c r="D5" s="34" t="inlineStr">
        <is>
          <t>Fijo</t>
        </is>
      </c>
      <c r="E5" s="26" t="inlineStr">
        <is>
          <t>Contrato anual — vence Dic 2026</t>
        </is>
      </c>
    </row>
    <row r="6" ht="24" customHeight="1">
      <c r="B6" s="18" t="inlineStr">
        <is>
          <t>Electricidad</t>
        </is>
      </c>
      <c r="C6" s="20" t="n">
        <v>45000</v>
      </c>
      <c r="D6" s="35" t="inlineStr">
        <is>
          <t>Variable</t>
        </is>
      </c>
      <c r="E6" s="28" t="inlineStr">
        <is>
          <t>Promedio últimos 6 meses</t>
        </is>
      </c>
    </row>
    <row r="7" ht="24" customHeight="1">
      <c r="B7" s="13" t="inlineStr">
        <is>
          <t>Agua y alcantarillado</t>
        </is>
      </c>
      <c r="C7" s="15" t="n">
        <v>15000</v>
      </c>
      <c r="D7" s="34" t="inlineStr">
        <is>
          <t>Fijo</t>
        </is>
      </c>
      <c r="E7" s="26" t="inlineStr"/>
    </row>
    <row r="8" ht="24" customHeight="1">
      <c r="B8" s="18" t="inlineStr">
        <is>
          <t>Internet + teléfono</t>
        </is>
      </c>
      <c r="C8" s="20" t="n">
        <v>28000</v>
      </c>
      <c r="D8" s="36" t="inlineStr">
        <is>
          <t>Fijo</t>
        </is>
      </c>
      <c r="E8" s="28" t="inlineStr">
        <is>
          <t>Plan combo VTR</t>
        </is>
      </c>
    </row>
    <row r="9" ht="24" customHeight="1">
      <c r="B9" s="13" t="inlineStr">
        <is>
          <t>Gasolina camioneta</t>
        </is>
      </c>
      <c r="C9" s="15" t="n">
        <v>55000</v>
      </c>
      <c r="D9" s="37" t="inlineStr">
        <is>
          <t>Variable</t>
        </is>
      </c>
      <c r="E9" s="26" t="inlineStr">
        <is>
          <t>Estimado — varía con precio combustible</t>
        </is>
      </c>
    </row>
    <row r="10" ht="24" customHeight="1">
      <c r="B10" s="18" t="inlineStr">
        <is>
          <t>Sueldo ayudante</t>
        </is>
      </c>
      <c r="C10" s="20" t="n">
        <v>350000</v>
      </c>
      <c r="D10" s="36" t="inlineStr">
        <is>
          <t>Fijo</t>
        </is>
      </c>
      <c r="E10" s="28" t="inlineStr">
        <is>
          <t>Manuel — contrato indefinido</t>
        </is>
      </c>
    </row>
    <row r="11" ht="24" customHeight="1">
      <c r="B11" s="13" t="inlineStr">
        <is>
          <t>Seguro taller y equipos</t>
        </is>
      </c>
      <c r="C11" s="15" t="n">
        <v>18000</v>
      </c>
      <c r="D11" s="34" t="inlineStr">
        <is>
          <t>Fijo</t>
        </is>
      </c>
      <c r="E11" s="26" t="inlineStr">
        <is>
          <t>Pago anual prorrateado</t>
        </is>
      </c>
    </row>
    <row r="12" ht="24" customHeight="1">
      <c r="B12" s="18" t="inlineStr">
        <is>
          <t>Gastos varios / imprevistos</t>
        </is>
      </c>
      <c r="C12" s="20" t="n">
        <v>30000</v>
      </c>
      <c r="D12" s="35" t="inlineStr">
        <is>
          <t>Variable</t>
        </is>
      </c>
      <c r="E12" s="28" t="inlineStr">
        <is>
          <t>Fondo para emergencias menores</t>
        </is>
      </c>
    </row>
    <row r="13" ht="26" customHeight="1">
      <c r="B13" s="12" t="inlineStr">
        <is>
          <t>TOTAL COSTOS FIJOS/MES</t>
        </is>
      </c>
      <c r="C13" s="23">
        <f>SUM(C5:C12)</f>
        <v/>
      </c>
      <c r="D13" s="24" t="n"/>
      <c r="E13" s="24" t="n"/>
    </row>
    <row r="15" ht="20" customHeight="1">
      <c r="B15" s="38" t="inlineStr">
        <is>
          <t>* Revisa y actualiza estos montos cada 3 meses para reflejar cambios reales.</t>
        </is>
      </c>
    </row>
  </sheetData>
  <mergeCells count="2">
    <mergeCell ref="B15:E15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2026-03-14T22:56:53Z</dcterms:created>
  <dcterms:modified xmlns:dcterms="http://purl.org/dc/terms/" xmlns:xsi="http://www.w3.org/2001/XMLSchema-instance" xsi:type="dcterms:W3CDTF">2026-03-14T22:56:53Z</dcterms:modified>
</cp:coreProperties>
</file>